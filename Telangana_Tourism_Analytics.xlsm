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ent\Downloads\Telangana tourism\"/>
    </mc:Choice>
  </mc:AlternateContent>
  <xr:revisionPtr revIDLastSave="0" documentId="13_ncr:1_{77F77F0E-AEAA-4642-B525-4E552A0BF826}" xr6:coauthVersionLast="47" xr6:coauthVersionMax="47" xr10:uidLastSave="{00000000-0000-0000-0000-000000000000}"/>
  <bookViews>
    <workbookView xWindow="-108" yWindow="-108" windowWidth="23256" windowHeight="12456" activeTab="2" xr2:uid="{3DFBEE55-7383-482D-AD56-3528F6C0FFBF}"/>
  </bookViews>
  <sheets>
    <sheet name="TourismSummary" sheetId="3" r:id="rId1"/>
    <sheet name="tourismanalysis" sheetId="2" r:id="rId2"/>
    <sheet name="BusinessInsights" sheetId="4" r:id="rId3"/>
  </sheets>
  <externalReferences>
    <externalReference r:id="rId4"/>
  </externalReferences>
  <definedNames>
    <definedName name="ExternalData_1" localSheetId="1" hidden="1">tourismanalysis!$A$1:$E$11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3" l="1"/>
  <c r="B15" i="3"/>
  <c r="B14" i="3"/>
  <c r="B18" i="3"/>
  <c r="B1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DD3124-730A-456E-B159-B4D5B1EC15E7}" keepAlive="1" name="Query - tourismanalysis" description="Connection to the 'tourismanalysis' query in the workbook." type="5" refreshedVersion="8" background="1" saveData="1">
    <dbPr connection="Provider=Microsoft.Mashup.OleDb.1;Data Source=$Workbook$;Location=tourismanalysis;Extended Properties=&quot;&quot;" command="SELECT * FROM [tourismanalysis]"/>
  </connection>
</connections>
</file>

<file path=xl/sharedStrings.xml><?xml version="1.0" encoding="utf-8"?>
<sst xmlns="http://schemas.openxmlformats.org/spreadsheetml/2006/main" count="32" uniqueCount="32">
  <si>
    <t>Year</t>
  </si>
  <si>
    <t>Domestic_visitors</t>
  </si>
  <si>
    <t>Foreign_visitors</t>
  </si>
  <si>
    <t>YoY_Growth_Percent</t>
  </si>
  <si>
    <t>Total_Visitors</t>
  </si>
  <si>
    <t>TELANGANA TOURISM ANALYTICS</t>
  </si>
  <si>
    <t>Metric</t>
  </si>
  <si>
    <t>Result</t>
  </si>
  <si>
    <t>Total Domestic Visitors</t>
  </si>
  <si>
    <t>Total Foreign Visitors</t>
  </si>
  <si>
    <t>Total Visitors Across Years</t>
  </si>
  <si>
    <t>Highest Visitor Year</t>
  </si>
  <si>
    <t>Highest Annual Visitors</t>
  </si>
  <si>
    <t>Lowest Visitor Year</t>
  </si>
  <si>
    <t>Lowest Annual Visitors</t>
  </si>
  <si>
    <t>Years with Positive Growth</t>
  </si>
  <si>
    <t>Years with Negative Growth</t>
  </si>
  <si>
    <t>Finding</t>
  </si>
  <si>
    <t>Interpretation</t>
  </si>
  <si>
    <t>Recommendation</t>
  </si>
  <si>
    <t>Highest visitor count occurred in 2016</t>
  </si>
  <si>
    <t>Lowest visitor count occurred in 2017</t>
  </si>
  <si>
    <t>Visitor numbers fluctuate across years</t>
  </si>
  <si>
    <t>Domestic visitors dominate the dataset</t>
  </si>
  <si>
    <t>One year has an exceptionally high visitor count compared with the others.</t>
  </si>
  <si>
    <t>Visitor numbers dropped sharply after 2016 in this dataset.</t>
  </si>
  <si>
    <t>Tourism demand or the recorded data varies substantially over time.</t>
  </si>
  <si>
    <t>Domestic visitors account for most of the recorded visitors.</t>
  </si>
  <si>
    <t>Validate the source value before using it for forecasting.</t>
  </si>
  <si>
    <t>Investigate the data and identify possible reasons for the decline.</t>
  </si>
  <si>
    <t>Analyze annual trends and investigate external factors.</t>
  </si>
  <si>
    <t>Explore domestic tourism preferences and regional demand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</si>
</sst>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3" fontId="0" fillId="0" borderId="0" xfId="0" applyNumberFormat="1"/>
    <xf numFmtId="2" fontId="0" fillId="0" borderId="0" xfId="0" applyNumberForma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5">
    <dxf>
      <numFmt numFmtId="3" formatCode="#,##0"/>
    </dxf>
    <dxf>
      <numFmt numFmtId="3" formatCode="#,##0"/>
    </dxf>
    <dxf>
      <numFmt numFmtId="3" formatCode="#,##0"/>
    </dxf>
    <dxf>
      <numFmt numFmtId="2" formatCode="0.00"/>
    </dxf>
    <dxf>
      <font>
        <b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Annual Tourism Visitors - Telangana</a:t>
            </a:r>
          </a:p>
        </c:rich>
      </c:tx>
      <c:layout>
        <c:manualLayout>
          <c:xMode val="edge"/>
          <c:yMode val="edge"/>
          <c:x val="0.34240406824146979"/>
          <c:y val="2.5714285714285714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Visitors</c:v>
          </c:tx>
          <c:cat>
            <c:numRef>
              <c:f>tourismanalysis!$A$2:$A$11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tourismanalysis!$D$2:$D$11</c:f>
              <c:numCache>
                <c:formatCode>#,##0</c:formatCode>
                <c:ptCount val="10"/>
                <c:pt idx="0">
                  <c:v>76933528</c:v>
                </c:pt>
                <c:pt idx="1">
                  <c:v>56650541</c:v>
                </c:pt>
                <c:pt idx="2">
                  <c:v>575929969</c:v>
                </c:pt>
                <c:pt idx="3">
                  <c:v>45767980</c:v>
                </c:pt>
                <c:pt idx="4">
                  <c:v>65521232</c:v>
                </c:pt>
                <c:pt idx="5">
                  <c:v>68583865</c:v>
                </c:pt>
                <c:pt idx="6">
                  <c:v>56488978</c:v>
                </c:pt>
                <c:pt idx="7">
                  <c:v>67768566</c:v>
                </c:pt>
                <c:pt idx="8">
                  <c:v>87048814</c:v>
                </c:pt>
                <c:pt idx="9">
                  <c:v>57980662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8C-47C2-AFD1-0A1F64CC3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818079"/>
        <c:axId val="969816159"/>
      </c:lineChart>
      <c:catAx>
        <c:axId val="9698180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9816159"/>
        <c:crosses val="autoZero"/>
        <c:auto val="1"/>
        <c:lblAlgn val="ctr"/>
        <c:lblOffset val="100"/>
        <c:noMultiLvlLbl val="0"/>
      </c:catAx>
      <c:valAx>
        <c:axId val="9698161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Total Visitors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9698180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175260</xdr:colOff>
      <xdr:row>0</xdr:row>
      <xdr:rowOff>144780</xdr:rowOff>
    </xdr:from>
    <xdr:to>
      <xdr:col>17</xdr:col>
      <xdr:colOff>480060</xdr:colOff>
      <xdr:row>25</xdr:row>
      <xdr:rowOff>17780</xdr:rowOff>
    </xdr:to>
    <xdr:graphicFrame macro="">
      <xdr:nvGraphicFramePr>
        <xdr:cNvPr id="3" name="TourismTrendChart">
          <a:extLst>
            <a:ext uri="{FF2B5EF4-FFF2-40B4-BE49-F238E27FC236}">
              <a16:creationId xmlns:a16="http://schemas.microsoft.com/office/drawing/2014/main" id="{FEA35BCB-9492-0960-0F49-D5F0805167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ourism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ismSummary"/>
      <sheetName val="tourismanalysis"/>
      <sheetName val="Sheet1"/>
      <sheetName val="TourismData"/>
    </sheetNames>
    <sheetDataSet>
      <sheetData sheetId="0"/>
      <sheetData sheetId="1">
        <row r="2">
          <cell r="D2">
            <v>76933528</v>
          </cell>
        </row>
        <row r="3">
          <cell r="D3">
            <v>56650541</v>
          </cell>
          <cell r="E3">
            <v>-26.36</v>
          </cell>
        </row>
        <row r="4">
          <cell r="D4">
            <v>575929969</v>
          </cell>
          <cell r="E4">
            <v>916.64</v>
          </cell>
        </row>
        <row r="5">
          <cell r="D5">
            <v>45767980</v>
          </cell>
          <cell r="E5">
            <v>-92.05</v>
          </cell>
        </row>
        <row r="6">
          <cell r="D6">
            <v>65521232</v>
          </cell>
          <cell r="E6">
            <v>43.16</v>
          </cell>
        </row>
        <row r="7">
          <cell r="D7">
            <v>68583865</v>
          </cell>
          <cell r="E7">
            <v>4.67</v>
          </cell>
        </row>
        <row r="8">
          <cell r="D8">
            <v>56488978</v>
          </cell>
          <cell r="E8">
            <v>-17.64</v>
          </cell>
        </row>
        <row r="9">
          <cell r="D9">
            <v>67768566</v>
          </cell>
          <cell r="E9">
            <v>19.97</v>
          </cell>
        </row>
        <row r="10">
          <cell r="D10">
            <v>87048814</v>
          </cell>
          <cell r="E10">
            <v>28.45</v>
          </cell>
        </row>
        <row r="11">
          <cell r="D11">
            <v>57980662</v>
          </cell>
          <cell r="E11">
            <v>-33.39</v>
          </cell>
        </row>
      </sheetData>
      <sheetData sheetId="2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38593F2-AE72-4F1A-9DF9-A988D6CE6A74}" autoFormatId="16" applyNumberFormats="0" applyBorderFormats="0" applyFontFormats="0" applyPatternFormats="0" applyAlignmentFormats="0" applyWidthHeightFormats="0">
  <queryTableRefresh nextId="6">
    <queryTableFields count="5">
      <queryTableField id="1" name="Year" tableColumnId="1"/>
      <queryTableField id="2" name="Domestic_visitors" tableColumnId="2"/>
      <queryTableField id="3" name="Foreign_visitors" tableColumnId="3"/>
      <queryTableField id="4" name="Total_Visitors" tableColumnId="4"/>
      <queryTableField id="5" name="YoY_Growth_Percen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C9EE5C-1DEB-4B55-9E3E-0F58C9FFC70C}" name="tourismanalysis" displayName="tourismanalysis" ref="A1:E11" tableType="queryTable" totalsRowShown="0" headerRowDxfId="4">
  <tableColumns count="5">
    <tableColumn id="1" xr3:uid="{C18F792A-334A-43B3-8863-750CCC20465D}" uniqueName="1" name="Year" queryTableFieldId="1"/>
    <tableColumn id="2" xr3:uid="{6F9DA119-A453-4B66-8C52-5F9968008303}" uniqueName="2" name="Domestic_visitors" queryTableFieldId="2" dataDxfId="2"/>
    <tableColumn id="3" xr3:uid="{D9502881-ADDD-481B-A967-AC6CA21CB52E}" uniqueName="3" name="Foreign_visitors" queryTableFieldId="3" dataDxfId="1"/>
    <tableColumn id="4" xr3:uid="{D96AA56B-FCC1-4F96-BCD4-68D2CE8EC532}" uniqueName="4" name="Total_Visitors" queryTableFieldId="4" dataDxfId="0"/>
    <tableColumn id="5" xr3:uid="{13B2E592-F09F-489C-9482-D686136AEC2F}" uniqueName="5" name="YoY_Growth_Percent" queryTableFieldId="5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7DCE8-2FFB-4FCA-A21A-26E319821EC8}">
  <sheetPr codeName="Sheet3"/>
  <dimension ref="A1:B18"/>
  <sheetViews>
    <sheetView topLeftCell="A6" workbookViewId="0">
      <selection activeCell="B14" sqref="B14"/>
    </sheetView>
  </sheetViews>
  <sheetFormatPr defaultRowHeight="14.4"/>
  <cols>
    <col min="1" max="1" width="24" bestFit="1" customWidth="1"/>
    <col min="2" max="2" width="12.77734375" bestFit="1" customWidth="1"/>
  </cols>
  <sheetData>
    <row r="1" spans="1:2" ht="21">
      <c r="A1" s="5" t="s">
        <v>5</v>
      </c>
      <c r="B1" s="5"/>
    </row>
    <row r="3" spans="1:2">
      <c r="A3" s="1" t="s">
        <v>6</v>
      </c>
      <c r="B3" s="1" t="s">
        <v>7</v>
      </c>
    </row>
    <row r="4" spans="1:2">
      <c r="A4" t="s">
        <v>8</v>
      </c>
      <c r="B4" s="3">
        <v>1157849934</v>
      </c>
    </row>
    <row r="5" spans="1:2">
      <c r="A5" t="s">
        <v>9</v>
      </c>
      <c r="B5" s="3">
        <v>824201</v>
      </c>
    </row>
    <row r="6" spans="1:2">
      <c r="A6" t="s">
        <v>10</v>
      </c>
      <c r="B6" s="3">
        <v>1158674135</v>
      </c>
    </row>
    <row r="7" spans="1:2">
      <c r="A7" t="s">
        <v>11</v>
      </c>
      <c r="B7">
        <v>2016</v>
      </c>
    </row>
    <row r="8" spans="1:2">
      <c r="A8" t="s">
        <v>12</v>
      </c>
      <c r="B8" s="3">
        <v>575929969</v>
      </c>
    </row>
    <row r="9" spans="1:2">
      <c r="A9" t="s">
        <v>13</v>
      </c>
      <c r="B9">
        <v>2017</v>
      </c>
    </row>
    <row r="10" spans="1:2">
      <c r="A10" t="s">
        <v>14</v>
      </c>
      <c r="B10" s="3">
        <v>45767980</v>
      </c>
    </row>
    <row r="11" spans="1:2">
      <c r="A11" t="s">
        <v>15</v>
      </c>
      <c r="B11">
        <v>5</v>
      </c>
    </row>
    <row r="12" spans="1:2">
      <c r="A12" t="s">
        <v>16</v>
      </c>
      <c r="B12">
        <v>4</v>
      </c>
    </row>
    <row r="14" spans="1:2">
      <c r="A14" s="6"/>
      <c r="B14">
        <f>MAX([1]tourismanalysis!E3:E11)</f>
        <v>916.64</v>
      </c>
    </row>
    <row r="15" spans="1:2">
      <c r="A15" s="6"/>
      <c r="B15">
        <f>MIN([1]tourismanalysis!E3:E11)</f>
        <v>-92.05</v>
      </c>
    </row>
    <row r="16" spans="1:2">
      <c r="B16">
        <f>AVERAGE([1]tourismanalysis!D2:D11)</f>
        <v>115867413.5</v>
      </c>
    </row>
    <row r="17" spans="2:2">
      <c r="B17" s="6">
        <f>INDEX(tourismanalysis!A2:A11,MATCH(MAX(tourismanalysis!E2:E11),tourismanalysis!E2:E11,0))</f>
        <v>2016</v>
      </c>
    </row>
    <row r="18" spans="2:2">
      <c r="B18" s="6">
        <f>INDEX(tourismanalysis!A2:A11,MATCH(MIN(tourismanalysis!E2:E11),tourismanalysis!E2:E11,0))</f>
        <v>2017</v>
      </c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13FF8-B49A-4EEB-A123-C8AE229CCEDB}">
  <sheetPr codeName="Sheet1"/>
  <dimension ref="A1:E14"/>
  <sheetViews>
    <sheetView workbookViewId="0">
      <selection activeCell="B14" sqref="B14"/>
    </sheetView>
  </sheetViews>
  <sheetFormatPr defaultRowHeight="14.4"/>
  <cols>
    <col min="1" max="1" width="5" bestFit="1" customWidth="1"/>
    <col min="2" max="2" width="15.77734375" bestFit="1" customWidth="1"/>
    <col min="3" max="3" width="14.21875" bestFit="1" customWidth="1"/>
    <col min="4" max="4" width="12.33203125" bestFit="1" customWidth="1"/>
    <col min="5" max="5" width="19" bestFit="1" customWidth="1"/>
  </cols>
  <sheetData>
    <row r="1" spans="1:5">
      <c r="A1" s="2" t="s">
        <v>0</v>
      </c>
      <c r="B1" s="2" t="s">
        <v>1</v>
      </c>
      <c r="C1" s="2" t="s">
        <v>2</v>
      </c>
      <c r="D1" s="2" t="s">
        <v>4</v>
      </c>
      <c r="E1" s="2" t="s">
        <v>3</v>
      </c>
    </row>
    <row r="2" spans="1:5">
      <c r="A2">
        <v>2014</v>
      </c>
      <c r="B2" s="3">
        <v>76857890</v>
      </c>
      <c r="C2" s="3">
        <v>75638</v>
      </c>
      <c r="D2" s="3">
        <v>76933528</v>
      </c>
      <c r="E2" s="4"/>
    </row>
    <row r="3" spans="1:5">
      <c r="A3">
        <v>2015</v>
      </c>
      <c r="B3" s="3">
        <v>56574893</v>
      </c>
      <c r="C3" s="3">
        <v>75648</v>
      </c>
      <c r="D3" s="3">
        <v>56650541</v>
      </c>
      <c r="E3" s="4">
        <v>-26.36</v>
      </c>
    </row>
    <row r="4" spans="1:5">
      <c r="A4">
        <v>2016</v>
      </c>
      <c r="B4" s="3">
        <v>575839201</v>
      </c>
      <c r="C4" s="3">
        <v>90768</v>
      </c>
      <c r="D4" s="3">
        <v>575929969</v>
      </c>
      <c r="E4" s="4">
        <v>916.64</v>
      </c>
    </row>
    <row r="5" spans="1:5">
      <c r="A5">
        <v>2017</v>
      </c>
      <c r="B5" s="3">
        <v>45678904</v>
      </c>
      <c r="C5" s="3">
        <v>89076</v>
      </c>
      <c r="D5" s="3">
        <v>45767980</v>
      </c>
      <c r="E5" s="4">
        <v>-92.05</v>
      </c>
    </row>
    <row r="6" spans="1:5">
      <c r="A6">
        <v>2018</v>
      </c>
      <c r="B6" s="3">
        <v>65432156</v>
      </c>
      <c r="C6" s="3">
        <v>89076</v>
      </c>
      <c r="D6" s="3">
        <v>65521232</v>
      </c>
      <c r="E6" s="4">
        <v>43.16</v>
      </c>
    </row>
    <row r="7" spans="1:5">
      <c r="A7">
        <v>2019</v>
      </c>
      <c r="B7" s="3">
        <v>68494789</v>
      </c>
      <c r="C7" s="3">
        <v>89076</v>
      </c>
      <c r="D7" s="3">
        <v>68583865</v>
      </c>
      <c r="E7" s="4">
        <v>4.67</v>
      </c>
    </row>
    <row r="8" spans="1:5">
      <c r="A8">
        <v>2020</v>
      </c>
      <c r="B8" s="3">
        <v>56432189</v>
      </c>
      <c r="C8" s="3">
        <v>56789</v>
      </c>
      <c r="D8" s="3">
        <v>56488978</v>
      </c>
      <c r="E8" s="4">
        <v>-17.64</v>
      </c>
    </row>
    <row r="9" spans="1:5">
      <c r="A9">
        <v>2021</v>
      </c>
      <c r="B9" s="3">
        <v>67689876</v>
      </c>
      <c r="C9" s="3">
        <v>78690</v>
      </c>
      <c r="D9" s="3">
        <v>67768566</v>
      </c>
      <c r="E9" s="4">
        <v>19.97</v>
      </c>
    </row>
    <row r="10" spans="1:5">
      <c r="A10">
        <v>2022</v>
      </c>
      <c r="B10" s="3">
        <v>86959049</v>
      </c>
      <c r="C10" s="3">
        <v>89765</v>
      </c>
      <c r="D10" s="3">
        <v>87048814</v>
      </c>
      <c r="E10" s="4">
        <v>28.45</v>
      </c>
    </row>
    <row r="11" spans="1:5">
      <c r="A11">
        <v>2023</v>
      </c>
      <c r="B11" s="3">
        <v>57890987</v>
      </c>
      <c r="C11" s="3">
        <v>89675</v>
      </c>
      <c r="D11" s="3">
        <v>57980662</v>
      </c>
      <c r="E11" s="4">
        <v>-33.39</v>
      </c>
    </row>
    <row r="14" spans="1:5">
      <c r="B14" s="6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3A9E-A8DA-4064-AFC8-4D741544097A}">
  <sheetPr codeName="Sheet4"/>
  <dimension ref="A1:H5"/>
  <sheetViews>
    <sheetView tabSelected="1" zoomScaleNormal="100" workbookViewId="0"/>
  </sheetViews>
  <sheetFormatPr defaultRowHeight="14.4"/>
  <cols>
    <col min="1" max="1" width="32.77734375" customWidth="1"/>
    <col min="2" max="3" width="45.77734375" customWidth="1"/>
  </cols>
  <sheetData>
    <row r="1" spans="1:8">
      <c r="A1" s="2" t="s">
        <v>17</v>
      </c>
      <c r="B1" s="2" t="s">
        <v>18</v>
      </c>
      <c r="C1" s="2" t="s">
        <v>19</v>
      </c>
      <c r="D1" s="1"/>
    </row>
    <row r="2" spans="1:8" ht="28.8">
      <c r="A2" s="7" t="s">
        <v>20</v>
      </c>
      <c r="B2" s="7" t="s">
        <v>24</v>
      </c>
      <c r="C2" s="7" t="s">
        <v>28</v>
      </c>
      <c r="D2" s="7"/>
      <c r="E2" s="7"/>
      <c r="F2" s="7"/>
      <c r="G2" s="7"/>
      <c r="H2" s="7"/>
    </row>
    <row r="3" spans="1:8" ht="28.8">
      <c r="A3" s="7" t="s">
        <v>21</v>
      </c>
      <c r="B3" s="7" t="s">
        <v>25</v>
      </c>
      <c r="C3" s="7" t="s">
        <v>29</v>
      </c>
      <c r="D3" s="7"/>
      <c r="E3" s="7"/>
      <c r="F3" s="7"/>
      <c r="G3" s="7"/>
      <c r="H3" s="7"/>
    </row>
    <row r="4" spans="1:8" ht="28.8">
      <c r="A4" s="7" t="s">
        <v>22</v>
      </c>
      <c r="B4" s="7" t="s">
        <v>26</v>
      </c>
      <c r="C4" s="7" t="s">
        <v>30</v>
      </c>
      <c r="D4" s="7"/>
      <c r="E4" s="7"/>
      <c r="F4" s="7"/>
      <c r="G4" s="7"/>
      <c r="H4" s="7"/>
    </row>
    <row r="5" spans="1:8" ht="28.8">
      <c r="A5" s="7" t="s">
        <v>23</v>
      </c>
      <c r="B5" s="7" t="s">
        <v>27</v>
      </c>
      <c r="C5" s="7" t="s">
        <v>31</v>
      </c>
      <c r="D5" s="7"/>
      <c r="E5" s="7"/>
      <c r="F5" s="7"/>
      <c r="G5" s="7"/>
      <c r="H5" s="7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64BBFD-FCDA-4178-BD96-6E11676DE5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TourismSummary</vt:lpstr>
      <vt:lpstr>tourismanalysis</vt:lpstr>
      <vt:lpstr>BusinessInsights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sudheesh v</dc:creator>
  <cp:lastModifiedBy>sudheesh v</cp:lastModifiedBy>
  <cp:lastPrinted>2026-10-23T04:59:14Z</cp:lastPrinted>
  <dcterms:created xsi:type="dcterms:W3CDTF">2026-10-23T03:42:43Z</dcterms:created>
  <dcterms:modified xsi:type="dcterms:W3CDTF">2026-10-23T05:03:49Z</dcterms:modified>
</cp:coreProperties>
</file>